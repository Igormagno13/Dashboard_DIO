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ixa-my.sharepoint.com/personal/c106769_corp_caixa_gov_br/Documents/Área de Trabalho/CoE IA/Bootcamp DIO/"/>
    </mc:Choice>
  </mc:AlternateContent>
  <xr:revisionPtr revIDLastSave="501" documentId="11_6B67F287A14C53BBF07501C62139F782C46AF883" xr6:coauthVersionLast="47" xr6:coauthVersionMax="47" xr10:uidLastSave="{CF572A29-BD61-4F1B-A2E4-E765AB320F65}"/>
  <bookViews>
    <workbookView xWindow="-108" yWindow="-108" windowWidth="23256" windowHeight="12456" firstSheet="3" activeTab="3" xr2:uid="{00000000-000D-0000-FFFF-FFFF00000000}"/>
  </bookViews>
  <sheets>
    <sheet name="Dados" sheetId="1" state="hidden" r:id="rId1"/>
    <sheet name="Controle" sheetId="3" state="hidden" r:id="rId2"/>
    <sheet name="Poupança" sheetId="4" state="hidden" r:id="rId3"/>
    <sheet name="Dashboard" sheetId="2" r:id="rId4"/>
  </sheets>
  <definedNames>
    <definedName name="SegmentaçãodeDados_Descrição">#N/A</definedName>
    <definedName name="SegmentaçãodeDados_Mês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</calcChain>
</file>

<file path=xl/sharedStrings.xml><?xml version="1.0" encoding="utf-8"?>
<sst xmlns="http://schemas.openxmlformats.org/spreadsheetml/2006/main" count="178" uniqueCount="69">
  <si>
    <t>Data</t>
  </si>
  <si>
    <t>Tipo</t>
  </si>
  <si>
    <t>Descrição</t>
  </si>
  <si>
    <t>Valor (R$)</t>
  </si>
  <si>
    <t>Receita</t>
  </si>
  <si>
    <t>03/02/2024</t>
  </si>
  <si>
    <t>Despesa</t>
  </si>
  <si>
    <t>Saúde</t>
  </si>
  <si>
    <t>03/07/2024</t>
  </si>
  <si>
    <t>04/09/2024</t>
  </si>
  <si>
    <t>05/03/2024</t>
  </si>
  <si>
    <t>Aluguel</t>
  </si>
  <si>
    <t>05/05/2024</t>
  </si>
  <si>
    <t>05/10/2024</t>
  </si>
  <si>
    <t>Lazer</t>
  </si>
  <si>
    <t>05/11/2024</t>
  </si>
  <si>
    <t>06/02/2024</t>
  </si>
  <si>
    <t>Educação</t>
  </si>
  <si>
    <t>06/07/2024</t>
  </si>
  <si>
    <t>06/10/2024</t>
  </si>
  <si>
    <t>07/01/2024</t>
  </si>
  <si>
    <t>Rendimentos</t>
  </si>
  <si>
    <t>07/02/2024</t>
  </si>
  <si>
    <t>07/04/2024</t>
  </si>
  <si>
    <t>07/10/2024</t>
  </si>
  <si>
    <t>08/08/2024</t>
  </si>
  <si>
    <t>09/07/2024</t>
  </si>
  <si>
    <t>09/08/2024</t>
  </si>
  <si>
    <t>10/02/2024</t>
  </si>
  <si>
    <t>10/10/2024</t>
  </si>
  <si>
    <t>11/06/2024</t>
  </si>
  <si>
    <t>12/03/2024</t>
  </si>
  <si>
    <t>12/06/2024</t>
  </si>
  <si>
    <t>Alimentação</t>
  </si>
  <si>
    <t>12/10/2024</t>
  </si>
  <si>
    <t>13/02/2024</t>
  </si>
  <si>
    <t>Salário</t>
  </si>
  <si>
    <t>13/03/2024</t>
  </si>
  <si>
    <t>15/02/2024</t>
  </si>
  <si>
    <t>15/08/2024</t>
  </si>
  <si>
    <t>16/02/2024</t>
  </si>
  <si>
    <t>16/05/2024</t>
  </si>
  <si>
    <t>16/10/2024</t>
  </si>
  <si>
    <t>17/11/2024</t>
  </si>
  <si>
    <t>18/06/2024</t>
  </si>
  <si>
    <t>18/07/2024</t>
  </si>
  <si>
    <t>20/03/2024</t>
  </si>
  <si>
    <t>20/05/2024</t>
  </si>
  <si>
    <t>20/11/2024</t>
  </si>
  <si>
    <t>21/01/2024</t>
  </si>
  <si>
    <t>21/10/2024</t>
  </si>
  <si>
    <t>22/12/2024</t>
  </si>
  <si>
    <t>25/09/2024</t>
  </si>
  <si>
    <t>26/02/2024</t>
  </si>
  <si>
    <t>27/03/2024</t>
  </si>
  <si>
    <t>28/04/2024</t>
  </si>
  <si>
    <t>Roupas</t>
  </si>
  <si>
    <t>29/01/2024</t>
  </si>
  <si>
    <t>31/05/2024</t>
  </si>
  <si>
    <t>Vendas</t>
  </si>
  <si>
    <t>Rótulos de Linha</t>
  </si>
  <si>
    <t>Total Geral</t>
  </si>
  <si>
    <t>Soma de Valor (R$)</t>
  </si>
  <si>
    <t>Mês</t>
  </si>
  <si>
    <t>Data do lançamento</t>
  </si>
  <si>
    <t>Valor guardado</t>
  </si>
  <si>
    <t>Total Reservado</t>
  </si>
  <si>
    <t>Meta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</si>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</sst>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7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i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E0E6"/>
        <bgColor rgb="FFB0E0E6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6" fillId="2" borderId="0" xfId="0" applyFont="1" applyFill="1"/>
    <xf numFmtId="0" fontId="5" fillId="0" borderId="0" xfId="0" applyFont="1"/>
    <xf numFmtId="16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167" fontId="0" fillId="0" borderId="0" xfId="1" applyNumberFormat="1" applyFont="1"/>
  </cellXfs>
  <cellStyles count="2">
    <cellStyle name="Moeda" xfId="1" builtinId="4"/>
    <cellStyle name="Normal" xfId="0" builtinId="0"/>
  </cellStyles>
  <dxfs count="9">
    <dxf>
      <numFmt numFmtId="19" formatCode="dd/mm/yyyy"/>
      <alignment horizontal="center" vertical="bottom" textRotation="0" wrapText="0" indent="0" justifyLastLine="0" shrinkToFit="0" readingOrder="0"/>
    </dxf>
    <dxf>
      <numFmt numFmtId="167" formatCode="&quot;R$&quot;\ #,##0.00"/>
    </dxf>
    <dxf>
      <numFmt numFmtId="167" formatCode="&quot;R$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0"/>
      </font>
      <border diagonalUp="0" diagonalDown="0">
        <left/>
        <right/>
        <top/>
        <bottom/>
        <vertical/>
        <horizontal/>
      </border>
    </dxf>
    <dxf>
      <numFmt numFmtId="0" formatCode="General"/>
    </dxf>
    <dxf>
      <numFmt numFmtId="164" formatCode="_-[$R$-416]\ * #,##0.00_-;\-[$R$-416]\ * #,##0.00_-;_-[$R$-416]\ * &quot;-&quot;??_-;_-@_-"/>
    </dxf>
  </dxfs>
  <tableStyles count="1" defaultTableStyle="TableStyleMedium9" defaultPivotStyle="PivotStyleLight16">
    <tableStyle name="SlicerStyleOther2 2" pivot="0" table="0" count="10" xr9:uid="{7D0C1815-DB29-4162-BBE9-FF37280CE53D}">
      <tableStyleElement type="wholeTable" dxfId="6"/>
      <tableStyleElement type="headerRow" dxfId="5"/>
    </tableStyle>
  </tableStyle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[Dashboard_Aprimorado_Receitas_Despesas.xlsx]Controle!TabelaReceita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6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Controle!$G$6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6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Controle!$F$7:$F$10</c:f>
              <c:strCache>
                <c:ptCount val="3"/>
                <c:pt idx="0">
                  <c:v>Rendimentos</c:v>
                </c:pt>
                <c:pt idx="1">
                  <c:v>Salário</c:v>
                </c:pt>
                <c:pt idx="2">
                  <c:v>Vendas</c:v>
                </c:pt>
              </c:strCache>
            </c:strRef>
          </c:cat>
          <c:val>
            <c:numRef>
              <c:f>Controle!$G$7:$G$10</c:f>
              <c:numCache>
                <c:formatCode>_-[$R$-416]\ * #,##0.00_-;\-[$R$-416]\ * #,##0.00_-;_-[$R$-416]\ * "-"??_-;_-@_-</c:formatCode>
                <c:ptCount val="3"/>
                <c:pt idx="0">
                  <c:v>7535.7300000000005</c:v>
                </c:pt>
                <c:pt idx="1">
                  <c:v>36056.06</c:v>
                </c:pt>
                <c:pt idx="2">
                  <c:v>30787.040000000001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8-4E3E-86FF-54906248C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8438079"/>
        <c:axId val="1778435679"/>
      </c:barChart>
      <c:catAx>
        <c:axId val="177843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8435679"/>
        <c:crosses val="autoZero"/>
        <c:auto val="1"/>
        <c:lblAlgn val="ctr"/>
        <c:lblOffset val="100"/>
        <c:noMultiLvlLbl val="0"/>
      </c:catAx>
      <c:valAx>
        <c:axId val="1778435679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77843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[Dashboard_Aprimorado_Receitas_Despesas.xlsx]Controle!TabelaDespesa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6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Controle!$D$6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6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Controle!$C$7:$C$13</c:f>
              <c:strCache>
                <c:ptCount val="6"/>
                <c:pt idx="0">
                  <c:v>Alimentação</c:v>
                </c:pt>
                <c:pt idx="1">
                  <c:v>Aluguel</c:v>
                </c:pt>
                <c:pt idx="2">
                  <c:v>Educação</c:v>
                </c:pt>
                <c:pt idx="3">
                  <c:v>Lazer</c:v>
                </c:pt>
                <c:pt idx="4">
                  <c:v>Roupas</c:v>
                </c:pt>
                <c:pt idx="5">
                  <c:v>Saúde</c:v>
                </c:pt>
              </c:strCache>
            </c:strRef>
          </c:cat>
          <c:val>
            <c:numRef>
              <c:f>Controle!$D$7:$D$13</c:f>
              <c:numCache>
                <c:formatCode>_-[$R$-416]\ * #,##0.00_-;\-[$R$-416]\ * #,##0.00_-;_-[$R$-416]\ * "-"??_-;_-@_-</c:formatCode>
                <c:ptCount val="6"/>
                <c:pt idx="0">
                  <c:v>2175.0500000000002</c:v>
                </c:pt>
                <c:pt idx="1">
                  <c:v>2630.6</c:v>
                </c:pt>
                <c:pt idx="2">
                  <c:v>2841.42</c:v>
                </c:pt>
                <c:pt idx="3">
                  <c:v>2098.31</c:v>
                </c:pt>
                <c:pt idx="4">
                  <c:v>781.98</c:v>
                </c:pt>
                <c:pt idx="5">
                  <c:v>4691.9399999999996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F-480C-8080-F5F1BF2E8A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3736911"/>
        <c:axId val="1783736431"/>
      </c:barChart>
      <c:catAx>
        <c:axId val="178373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736431"/>
        <c:crosses val="autoZero"/>
        <c:auto val="1"/>
        <c:lblAlgn val="ctr"/>
        <c:lblOffset val="100"/>
        <c:noMultiLvlLbl val="0"/>
      </c:catAx>
      <c:valAx>
        <c:axId val="1783736431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7837369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D79-4B65-B1DC-5E65DB6EDC0F}"/>
              </c:ext>
            </c:extLst>
          </c:dPt>
          <c:dLbls>
            <c:delete val="1"/>
          </c:dLbls>
          <c:val>
            <c:numRef>
              <c:f>Poupança!$C$4</c:f>
              <c:numCache>
                <c:formatCode>"R$"\ #,##0.00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9-4B65-B1DC-5E65DB6EDC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63911024"/>
        <c:axId val="1263911984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6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Poupança!$C$3</c:f>
              <c:numCache>
                <c:formatCode>"R$"\ #,##0.00</c:formatCode>
                <c:ptCount val="1"/>
                <c:pt idx="0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9-4B65-B1DC-5E65DB6ED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1426523823"/>
        <c:axId val="1256986096"/>
      </c:barChart>
      <c:catAx>
        <c:axId val="12639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911984"/>
        <c:crosses val="autoZero"/>
        <c:auto val="1"/>
        <c:lblAlgn val="ctr"/>
        <c:lblOffset val="100"/>
        <c:noMultiLvlLbl val="0"/>
      </c:catAx>
      <c:valAx>
        <c:axId val="126391198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63911024"/>
        <c:crosses val="autoZero"/>
        <c:crossBetween val="between"/>
      </c:valAx>
      <c:valAx>
        <c:axId val="1256986096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1426523823"/>
        <c:crosses val="max"/>
        <c:crossBetween val="between"/>
      </c:valAx>
      <c:catAx>
        <c:axId val="1426523823"/>
        <c:scaling>
          <c:orientation val="minMax"/>
        </c:scaling>
        <c:delete val="1"/>
        <c:axPos val="b"/>
        <c:majorTickMark val="out"/>
        <c:minorTickMark val="none"/>
        <c:tickLblPos val="nextTo"/>
        <c:crossAx val="12569860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Dado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0</xdr:row>
      <xdr:rowOff>1310640</xdr:rowOff>
    </xdr:from>
    <xdr:to>
      <xdr:col>9</xdr:col>
      <xdr:colOff>152400</xdr:colOff>
      <xdr:row>18</xdr:row>
      <xdr:rowOff>121920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C7510C3F-B58A-99BC-F30B-AB51EFE2AA90}"/>
            </a:ext>
          </a:extLst>
        </xdr:cNvPr>
        <xdr:cNvGrpSpPr/>
      </xdr:nvGrpSpPr>
      <xdr:grpSpPr>
        <a:xfrm>
          <a:off x="1805940" y="1310640"/>
          <a:ext cx="4632960" cy="3329940"/>
          <a:chOff x="1607820" y="137160"/>
          <a:chExt cx="4632960" cy="332994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2BE0DDB9-70C9-2C3D-2D2C-4BE844991C5C}"/>
              </a:ext>
            </a:extLst>
          </xdr:cNvPr>
          <xdr:cNvGrpSpPr/>
        </xdr:nvGrpSpPr>
        <xdr:grpSpPr>
          <a:xfrm>
            <a:off x="1607820" y="137160"/>
            <a:ext cx="4632960" cy="3329940"/>
            <a:chOff x="1760220" y="137160"/>
            <a:chExt cx="4632960" cy="3329940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26182A6D-A6C1-0DFD-7491-78BD1C8CC753}"/>
                </a:ext>
              </a:extLst>
            </xdr:cNvPr>
            <xdr:cNvGrpSpPr/>
          </xdr:nvGrpSpPr>
          <xdr:grpSpPr>
            <a:xfrm>
              <a:off x="1760220" y="137160"/>
              <a:ext cx="4632960" cy="3329940"/>
              <a:chOff x="1760220" y="137160"/>
              <a:chExt cx="4632960" cy="3329940"/>
            </a:xfrm>
          </xdr:grpSpPr>
          <xdr:sp macro="" textlink="">
            <xdr:nvSpPr>
              <xdr:cNvPr id="6" name="Retângulo: Cantos Superiores Arredondados 5">
                <a:extLst>
                  <a:ext uri="{FF2B5EF4-FFF2-40B4-BE49-F238E27FC236}">
                    <a16:creationId xmlns:a16="http://schemas.microsoft.com/office/drawing/2014/main" id="{985FE94E-6C8C-46B7-33D1-9DF56A2B7798}"/>
                  </a:ext>
                </a:extLst>
              </xdr:cNvPr>
              <xdr:cNvSpPr/>
            </xdr:nvSpPr>
            <xdr:spPr>
              <a:xfrm>
                <a:off x="1760220" y="152400"/>
                <a:ext cx="4632960" cy="3314700"/>
              </a:xfrm>
              <a:prstGeom prst="round2Same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8" name="Retângulo: Cantos Superiores Arredondados 7">
                <a:extLst>
                  <a:ext uri="{FF2B5EF4-FFF2-40B4-BE49-F238E27FC236}">
                    <a16:creationId xmlns:a16="http://schemas.microsoft.com/office/drawing/2014/main" id="{41A2DF5B-3E6D-5AC1-24FA-644514C77B02}"/>
                  </a:ext>
                </a:extLst>
              </xdr:cNvPr>
              <xdr:cNvSpPr/>
            </xdr:nvSpPr>
            <xdr:spPr>
              <a:xfrm>
                <a:off x="1767840" y="137160"/>
                <a:ext cx="4617720" cy="510540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5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1F948AA-837D-47CB-B9B7-861150FB547F}"/>
                </a:ext>
              </a:extLst>
            </xdr:cNvPr>
            <xdr:cNvGraphicFramePr>
              <a:graphicFrameLocks/>
            </xdr:cNvGraphicFramePr>
          </xdr:nvGraphicFramePr>
          <xdr:xfrm>
            <a:off x="1790700" y="65532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60913CE-E526-E131-DDC0-0F4F800E2184}"/>
                </a:ext>
              </a:extLst>
            </xdr:cNvPr>
            <xdr:cNvSpPr txBox="1"/>
          </xdr:nvSpPr>
          <xdr:spPr>
            <a:xfrm>
              <a:off x="2392680" y="213360"/>
              <a:ext cx="2971800" cy="4038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Receitas</a:t>
              </a:r>
            </a:p>
          </xdr:txBody>
        </xdr:sp>
      </xdr:grpSp>
      <xdr:pic>
        <xdr:nvPicPr>
          <xdr:cNvPr id="18" name="Gráfico 17" descr="Registrar com preenchimento sólido">
            <a:extLst>
              <a:ext uri="{FF2B5EF4-FFF2-40B4-BE49-F238E27FC236}">
                <a16:creationId xmlns:a16="http://schemas.microsoft.com/office/drawing/2014/main" id="{4D9DB95C-F9FA-F20D-52D1-305926B134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52600" y="16764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396240</xdr:colOff>
      <xdr:row>21</xdr:row>
      <xdr:rowOff>160020</xdr:rowOff>
    </xdr:from>
    <xdr:to>
      <xdr:col>17</xdr:col>
      <xdr:colOff>251460</xdr:colOff>
      <xdr:row>40</xdr:row>
      <xdr:rowOff>114300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87A2921-3187-1CAE-6A2B-FD3B8507A7F7}"/>
            </a:ext>
          </a:extLst>
        </xdr:cNvPr>
        <xdr:cNvGrpSpPr/>
      </xdr:nvGrpSpPr>
      <xdr:grpSpPr>
        <a:xfrm>
          <a:off x="1805940" y="5227320"/>
          <a:ext cx="9608820" cy="3429000"/>
          <a:chOff x="1607820" y="3680460"/>
          <a:chExt cx="6614160" cy="342900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DF83038A-64E7-CBD7-315F-9D0EBA17DE5B}"/>
              </a:ext>
            </a:extLst>
          </xdr:cNvPr>
          <xdr:cNvGrpSpPr/>
        </xdr:nvGrpSpPr>
        <xdr:grpSpPr>
          <a:xfrm>
            <a:off x="1607820" y="3695700"/>
            <a:ext cx="6614160" cy="3413760"/>
            <a:chOff x="1607820" y="3695700"/>
            <a:chExt cx="6614160" cy="3413760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5F863F97-9AE4-2121-B52C-B73C6DCD901B}"/>
                </a:ext>
              </a:extLst>
            </xdr:cNvPr>
            <xdr:cNvGrpSpPr/>
          </xdr:nvGrpSpPr>
          <xdr:grpSpPr>
            <a:xfrm>
              <a:off x="1607820" y="3695700"/>
              <a:ext cx="6614160" cy="3413760"/>
              <a:chOff x="1607820" y="3695700"/>
              <a:chExt cx="6614160" cy="3413760"/>
            </a:xfrm>
          </xdr:grpSpPr>
          <xdr:sp macro="" textlink="">
            <xdr:nvSpPr>
              <xdr:cNvPr id="7" name="Retângulo: Cantos Superiores Arredondados 6">
                <a:extLst>
                  <a:ext uri="{FF2B5EF4-FFF2-40B4-BE49-F238E27FC236}">
                    <a16:creationId xmlns:a16="http://schemas.microsoft.com/office/drawing/2014/main" id="{C8E1EE1F-99FC-490A-B4CC-B6609187C42C}"/>
                  </a:ext>
                </a:extLst>
              </xdr:cNvPr>
              <xdr:cNvSpPr/>
            </xdr:nvSpPr>
            <xdr:spPr>
              <a:xfrm>
                <a:off x="1607820" y="3695700"/>
                <a:ext cx="6606540" cy="3413760"/>
              </a:xfrm>
              <a:prstGeom prst="round2Same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9" name="Retângulo: Cantos Superiores Arredondados 8">
                <a:extLst>
                  <a:ext uri="{FF2B5EF4-FFF2-40B4-BE49-F238E27FC236}">
                    <a16:creationId xmlns:a16="http://schemas.microsoft.com/office/drawing/2014/main" id="{A07CC397-ABA6-4439-9638-EF3987570465}"/>
                  </a:ext>
                </a:extLst>
              </xdr:cNvPr>
              <xdr:cNvSpPr/>
            </xdr:nvSpPr>
            <xdr:spPr>
              <a:xfrm>
                <a:off x="1615440" y="3695700"/>
                <a:ext cx="6606540" cy="510540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5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50478B2-D725-40BF-BDFB-096CCC152C55}"/>
                </a:ext>
              </a:extLst>
            </xdr:cNvPr>
            <xdr:cNvGraphicFramePr>
              <a:graphicFrameLocks/>
            </xdr:cNvGraphicFramePr>
          </xdr:nvGraphicFramePr>
          <xdr:xfrm>
            <a:off x="1916430" y="4274820"/>
            <a:ext cx="598932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4895C255-C7FA-4297-9FA9-12AF1E92F4BC}"/>
                </a:ext>
              </a:extLst>
            </xdr:cNvPr>
            <xdr:cNvSpPr txBox="1"/>
          </xdr:nvSpPr>
          <xdr:spPr>
            <a:xfrm>
              <a:off x="2362200" y="3756660"/>
              <a:ext cx="2971800" cy="4038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Despesas</a:t>
              </a:r>
            </a:p>
          </xdr:txBody>
        </xdr:sp>
      </xdr:grpSp>
      <xdr:pic>
        <xdr:nvPicPr>
          <xdr:cNvPr id="21" name="Gráfico 20" descr="Transferência1 com preenchimento sólido">
            <a:extLst>
              <a:ext uri="{FF2B5EF4-FFF2-40B4-BE49-F238E27FC236}">
                <a16:creationId xmlns:a16="http://schemas.microsoft.com/office/drawing/2014/main" id="{0FFA922D-69D3-9CEF-6C96-C523690033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775460" y="3680460"/>
            <a:ext cx="556260" cy="55626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91440</xdr:colOff>
      <xdr:row>0</xdr:row>
      <xdr:rowOff>1295400</xdr:rowOff>
    </xdr:from>
    <xdr:to>
      <xdr:col>0</xdr:col>
      <xdr:colOff>1249680</xdr:colOff>
      <xdr:row>20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Mês">
              <a:extLst>
                <a:ext uri="{FF2B5EF4-FFF2-40B4-BE49-F238E27FC236}">
                  <a16:creationId xmlns:a16="http://schemas.microsoft.com/office/drawing/2014/main" id="{C8A2950D-5D2D-40C8-9B39-AFC387A3FC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1295400"/>
              <a:ext cx="1158240" cy="3627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83820</xdr:colOff>
      <xdr:row>21</xdr:row>
      <xdr:rowOff>160020</xdr:rowOff>
    </xdr:from>
    <xdr:to>
      <xdr:col>0</xdr:col>
      <xdr:colOff>1234440</xdr:colOff>
      <xdr:row>37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Descrição">
              <a:extLst>
                <a:ext uri="{FF2B5EF4-FFF2-40B4-BE49-F238E27FC236}">
                  <a16:creationId xmlns:a16="http://schemas.microsoft.com/office/drawing/2014/main" id="{769096BB-F215-4AAC-89EF-E2D07AF625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5227320"/>
              <a:ext cx="1150620" cy="283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396240</xdr:colOff>
      <xdr:row>0</xdr:row>
      <xdr:rowOff>121920</xdr:rowOff>
    </xdr:from>
    <xdr:to>
      <xdr:col>17</xdr:col>
      <xdr:colOff>228600</xdr:colOff>
      <xdr:row>0</xdr:row>
      <xdr:rowOff>1112520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F077B3BE-7862-A955-A06B-9AB84EEE346D}"/>
            </a:ext>
          </a:extLst>
        </xdr:cNvPr>
        <xdr:cNvGrpSpPr/>
      </xdr:nvGrpSpPr>
      <xdr:grpSpPr>
        <a:xfrm>
          <a:off x="1805940" y="121920"/>
          <a:ext cx="9585960" cy="990600"/>
          <a:chOff x="2689860" y="99060"/>
          <a:chExt cx="9585960" cy="990600"/>
        </a:xfrm>
      </xdr:grpSpPr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24E42976-CC60-4DDC-AE62-A1A5834E54E8}"/>
              </a:ext>
            </a:extLst>
          </xdr:cNvPr>
          <xdr:cNvSpPr/>
        </xdr:nvSpPr>
        <xdr:spPr>
          <a:xfrm>
            <a:off x="2689860" y="99060"/>
            <a:ext cx="9585960" cy="990600"/>
          </a:xfrm>
          <a:prstGeom prst="round2SameRect">
            <a:avLst>
              <a:gd name="adj1" fmla="val 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4F4024B5-DFCB-0F80-5ECC-EF1109A1BC05}"/>
              </a:ext>
            </a:extLst>
          </xdr:cNvPr>
          <xdr:cNvSpPr txBox="1"/>
        </xdr:nvSpPr>
        <xdr:spPr>
          <a:xfrm>
            <a:off x="2956560" y="354330"/>
            <a:ext cx="376428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kern="1200">
                <a:latin typeface="Arial" panose="020B0604020202020204" pitchFamily="34" charset="0"/>
                <a:cs typeface="Arial" panose="020B0604020202020204" pitchFamily="34" charset="0"/>
              </a:rPr>
              <a:t>Acompanhamento Financeiro</a:t>
            </a:r>
          </a:p>
        </xdr:txBody>
      </xdr:sp>
    </xdr:grpSp>
    <xdr:clientData/>
  </xdr:twoCellAnchor>
  <xdr:twoCellAnchor>
    <xdr:from>
      <xdr:col>10</xdr:col>
      <xdr:colOff>335280</xdr:colOff>
      <xdr:row>0</xdr:row>
      <xdr:rowOff>381000</xdr:rowOff>
    </xdr:from>
    <xdr:to>
      <xdr:col>16</xdr:col>
      <xdr:colOff>373380</xdr:colOff>
      <xdr:row>0</xdr:row>
      <xdr:rowOff>716280</xdr:rowOff>
    </xdr:to>
    <xdr:grpSp>
      <xdr:nvGrpSpPr>
        <xdr:cNvPr id="35" name="Agrupar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34D6AE-4DB3-DF1E-5939-741E5FCDD58C}"/>
            </a:ext>
          </a:extLst>
        </xdr:cNvPr>
        <xdr:cNvGrpSpPr/>
      </xdr:nvGrpSpPr>
      <xdr:grpSpPr>
        <a:xfrm>
          <a:off x="7231380" y="381000"/>
          <a:ext cx="3695700" cy="335280"/>
          <a:chOff x="6896100" y="381000"/>
          <a:chExt cx="3695700" cy="335280"/>
        </a:xfrm>
      </xdr:grpSpPr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60ED0BE8-5E5A-4B2A-896D-1818F4EB6F04}"/>
              </a:ext>
            </a:extLst>
          </xdr:cNvPr>
          <xdr:cNvSpPr/>
        </xdr:nvSpPr>
        <xdr:spPr>
          <a:xfrm>
            <a:off x="6896100" y="381000"/>
            <a:ext cx="3695700" cy="327660"/>
          </a:xfrm>
          <a:prstGeom prst="round2SameRect">
            <a:avLst>
              <a:gd name="adj1" fmla="val 0"/>
              <a:gd name="adj2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 kern="1200">
                <a:solidFill>
                  <a:schemeClr val="bg1">
                    <a:lumMod val="50000"/>
                  </a:schemeClr>
                </a:solidFill>
              </a:rPr>
              <a:t>Pesquisar Dados...</a:t>
            </a:r>
          </a:p>
        </xdr:txBody>
      </xdr:sp>
      <xdr:pic>
        <xdr:nvPicPr>
          <xdr:cNvPr id="34" name="Gráfico 33" descr="Lupa com preenchimento sólido">
            <a:extLst>
              <a:ext uri="{FF2B5EF4-FFF2-40B4-BE49-F238E27FC236}">
                <a16:creationId xmlns:a16="http://schemas.microsoft.com/office/drawing/2014/main" id="{0124067B-DB3A-14D6-401C-8F1D54337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0066020" y="388620"/>
            <a:ext cx="327660" cy="32766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198120</xdr:colOff>
      <xdr:row>0</xdr:row>
      <xdr:rowOff>60960</xdr:rowOff>
    </xdr:from>
    <xdr:to>
      <xdr:col>0</xdr:col>
      <xdr:colOff>1127760</xdr:colOff>
      <xdr:row>0</xdr:row>
      <xdr:rowOff>990600</xdr:rowOff>
    </xdr:to>
    <xdr:pic>
      <xdr:nvPicPr>
        <xdr:cNvPr id="37" name="Gráfico 36" descr="Funcionário de escritório com preenchimento sólido">
          <a:extLst>
            <a:ext uri="{FF2B5EF4-FFF2-40B4-BE49-F238E27FC236}">
              <a16:creationId xmlns:a16="http://schemas.microsoft.com/office/drawing/2014/main" id="{1763058F-91AB-BDAE-FCD9-24DDFE80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98120" y="60960"/>
          <a:ext cx="929640" cy="929640"/>
        </a:xfrm>
        <a:prstGeom prst="rect">
          <a:avLst/>
        </a:prstGeom>
      </xdr:spPr>
    </xdr:pic>
    <xdr:clientData/>
  </xdr:twoCellAnchor>
  <xdr:twoCellAnchor>
    <xdr:from>
      <xdr:col>9</xdr:col>
      <xdr:colOff>426720</xdr:colOff>
      <xdr:row>0</xdr:row>
      <xdr:rowOff>1310640</xdr:rowOff>
    </xdr:from>
    <xdr:to>
      <xdr:col>17</xdr:col>
      <xdr:colOff>182880</xdr:colOff>
      <xdr:row>18</xdr:row>
      <xdr:rowOff>121920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AFC6FE15-54DA-4F57-957D-F26CD0A828AD}"/>
            </a:ext>
          </a:extLst>
        </xdr:cNvPr>
        <xdr:cNvGrpSpPr/>
      </xdr:nvGrpSpPr>
      <xdr:grpSpPr>
        <a:xfrm>
          <a:off x="6713220" y="1310640"/>
          <a:ext cx="4632960" cy="3329940"/>
          <a:chOff x="1607820" y="137160"/>
          <a:chExt cx="4632960" cy="3329940"/>
        </a:xfrm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DC0709DB-0875-B729-51D8-2BB31261089E}"/>
              </a:ext>
            </a:extLst>
          </xdr:cNvPr>
          <xdr:cNvGrpSpPr/>
        </xdr:nvGrpSpPr>
        <xdr:grpSpPr>
          <a:xfrm>
            <a:off x="1607820" y="137160"/>
            <a:ext cx="4632960" cy="3329940"/>
            <a:chOff x="1760220" y="137160"/>
            <a:chExt cx="4632960" cy="3329940"/>
          </a:xfrm>
        </xdr:grpSpPr>
        <xdr:grpSp>
          <xdr:nvGrpSpPr>
            <xdr:cNvPr id="43" name="Agrupar 42">
              <a:extLst>
                <a:ext uri="{FF2B5EF4-FFF2-40B4-BE49-F238E27FC236}">
                  <a16:creationId xmlns:a16="http://schemas.microsoft.com/office/drawing/2014/main" id="{2C27A648-055B-1ED7-EF3D-1EAF39D45C7E}"/>
                </a:ext>
              </a:extLst>
            </xdr:cNvPr>
            <xdr:cNvGrpSpPr/>
          </xdr:nvGrpSpPr>
          <xdr:grpSpPr>
            <a:xfrm>
              <a:off x="1760220" y="137160"/>
              <a:ext cx="4632960" cy="3329940"/>
              <a:chOff x="1760220" y="137160"/>
              <a:chExt cx="4632960" cy="3329940"/>
            </a:xfrm>
          </xdr:grpSpPr>
          <xdr:sp macro="" textlink="">
            <xdr:nvSpPr>
              <xdr:cNvPr id="46" name="Retângulo: Cantos Superiores Arredondados 45">
                <a:extLst>
                  <a:ext uri="{FF2B5EF4-FFF2-40B4-BE49-F238E27FC236}">
                    <a16:creationId xmlns:a16="http://schemas.microsoft.com/office/drawing/2014/main" id="{0CEC810F-954D-29A1-254A-B60A1A5A955B}"/>
                  </a:ext>
                </a:extLst>
              </xdr:cNvPr>
              <xdr:cNvSpPr/>
            </xdr:nvSpPr>
            <xdr:spPr>
              <a:xfrm>
                <a:off x="1760220" y="152400"/>
                <a:ext cx="4632960" cy="3314700"/>
              </a:xfrm>
              <a:prstGeom prst="round2Same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47" name="Retângulo: Cantos Superiores Arredondados 46">
                <a:extLst>
                  <a:ext uri="{FF2B5EF4-FFF2-40B4-BE49-F238E27FC236}">
                    <a16:creationId xmlns:a16="http://schemas.microsoft.com/office/drawing/2014/main" id="{D5919E4D-9F7E-9510-7540-92FE198E5BC5}"/>
                  </a:ext>
                </a:extLst>
              </xdr:cNvPr>
              <xdr:cNvSpPr/>
            </xdr:nvSpPr>
            <xdr:spPr>
              <a:xfrm>
                <a:off x="1767840" y="137160"/>
                <a:ext cx="4617720" cy="510540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5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9E623BA8-EA1C-04E7-A61E-78C1682CA2A7}"/>
                </a:ext>
              </a:extLst>
            </xdr:cNvPr>
            <xdr:cNvSpPr txBox="1"/>
          </xdr:nvSpPr>
          <xdr:spPr>
            <a:xfrm>
              <a:off x="2392680" y="213360"/>
              <a:ext cx="2971800" cy="4038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Economias</a:t>
              </a:r>
            </a:p>
          </xdr:txBody>
        </xdr:sp>
      </xdr:grpSp>
      <xdr:pic>
        <xdr:nvPicPr>
          <xdr:cNvPr id="42" name="Gráfico 41" descr="Seguro com preenchimento sólido">
            <a:extLst>
              <a:ext uri="{FF2B5EF4-FFF2-40B4-BE49-F238E27FC236}">
                <a16:creationId xmlns:a16="http://schemas.microsoft.com/office/drawing/2014/main" id="{A709AE19-3E72-0669-E6B7-ACAEA10395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752600" y="16764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22860</xdr:colOff>
      <xdr:row>2</xdr:row>
      <xdr:rowOff>15240</xdr:rowOff>
    </xdr:from>
    <xdr:to>
      <xdr:col>15</xdr:col>
      <xdr:colOff>449580</xdr:colOff>
      <xdr:row>18</xdr:row>
      <xdr:rowOff>156210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1703724E-6E85-491C-816F-621C46525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Magno da Costa Silva" refreshedDate="45670.483704166669" createdVersion="8" refreshedVersion="8" minRefreshableVersion="3" recordCount="50" xr:uid="{5ECD3B2B-9672-49D0-8F0A-81E48260F9FB}">
  <cacheSource type="worksheet">
    <worksheetSource name="TabelaDados"/>
  </cacheSource>
  <cacheFields count="5">
    <cacheField name="Data" numFmtId="0">
      <sharedItems/>
    </cacheField>
    <cacheField name="Mês" numFmtId="0">
      <sharedItems containsSemiMixedTypes="0" containsString="0" containsNumber="1" containsInteger="1" minValue="1" maxValue="12" count="12">
        <n v="6"/>
        <n v="2"/>
        <n v="7"/>
        <n v="9"/>
        <n v="3"/>
        <n v="5"/>
        <n v="10"/>
        <n v="11"/>
        <n v="1"/>
        <n v="4"/>
        <n v="8"/>
        <n v="12"/>
      </sharedItems>
    </cacheField>
    <cacheField name="Tipo" numFmtId="0">
      <sharedItems count="2">
        <s v="Receita"/>
        <s v="Despesa"/>
      </sharedItems>
    </cacheField>
    <cacheField name="Descrição" numFmtId="0">
      <sharedItems count="9">
        <s v="Vendas"/>
        <s v="Saúde"/>
        <s v="Salário"/>
        <s v="Aluguel"/>
        <s v="Lazer"/>
        <s v="Educação"/>
        <s v="Alimentação"/>
        <s v="Rendimentos"/>
        <s v="Roupas"/>
      </sharedItems>
    </cacheField>
    <cacheField name="Valor (R$)" numFmtId="164">
      <sharedItems containsSemiMixedTypes="0" containsString="0" containsNumber="1" minValue="50.91" maxValue="4776.18"/>
    </cacheField>
  </cacheFields>
  <extLst>
    <ext xmlns:x14="http://schemas.microsoft.com/office/spreadsheetml/2009/9/main" uri="{725AE2AE-9491-48be-B2B4-4EB974FC3084}">
      <x14:pivotCacheDefinition pivotCacheId="9631799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02/06/2024"/>
    <x v="0"/>
    <x v="0"/>
    <x v="0"/>
    <n v="805.48"/>
  </r>
  <r>
    <s v="03/02/2024"/>
    <x v="1"/>
    <x v="1"/>
    <x v="1"/>
    <n v="642.83000000000004"/>
  </r>
  <r>
    <s v="03/07/2024"/>
    <x v="2"/>
    <x v="0"/>
    <x v="2"/>
    <n v="4636.72"/>
  </r>
  <r>
    <s v="04/09/2024"/>
    <x v="3"/>
    <x v="0"/>
    <x v="0"/>
    <n v="3094.82"/>
  </r>
  <r>
    <s v="05/03/2024"/>
    <x v="4"/>
    <x v="1"/>
    <x v="3"/>
    <n v="809.38"/>
  </r>
  <r>
    <s v="05/05/2024"/>
    <x v="5"/>
    <x v="1"/>
    <x v="1"/>
    <n v="977.34"/>
  </r>
  <r>
    <s v="05/10/2024"/>
    <x v="6"/>
    <x v="1"/>
    <x v="4"/>
    <n v="1229.29"/>
  </r>
  <r>
    <s v="05/11/2024"/>
    <x v="7"/>
    <x v="1"/>
    <x v="3"/>
    <n v="970.15"/>
  </r>
  <r>
    <s v="05/11/2024"/>
    <x v="7"/>
    <x v="0"/>
    <x v="0"/>
    <n v="2501.71"/>
  </r>
  <r>
    <s v="06/02/2024"/>
    <x v="1"/>
    <x v="1"/>
    <x v="5"/>
    <n v="1393.51"/>
  </r>
  <r>
    <s v="06/07/2024"/>
    <x v="2"/>
    <x v="0"/>
    <x v="0"/>
    <n v="1004.49"/>
  </r>
  <r>
    <s v="06/10/2024"/>
    <x v="6"/>
    <x v="1"/>
    <x v="1"/>
    <n v="1098.8699999999999"/>
  </r>
  <r>
    <s v="07/01/2024"/>
    <x v="8"/>
    <x v="0"/>
    <x v="2"/>
    <n v="569.32000000000005"/>
  </r>
  <r>
    <s v="07/02/2024"/>
    <x v="1"/>
    <x v="1"/>
    <x v="1"/>
    <n v="110.42"/>
  </r>
  <r>
    <s v="07/04/2024"/>
    <x v="9"/>
    <x v="0"/>
    <x v="2"/>
    <n v="3844.42"/>
  </r>
  <r>
    <s v="07/10/2024"/>
    <x v="6"/>
    <x v="1"/>
    <x v="1"/>
    <n v="555.73"/>
  </r>
  <r>
    <s v="08/08/2024"/>
    <x v="10"/>
    <x v="0"/>
    <x v="2"/>
    <n v="184.91"/>
  </r>
  <r>
    <s v="09/07/2024"/>
    <x v="2"/>
    <x v="0"/>
    <x v="2"/>
    <n v="2569.35"/>
  </r>
  <r>
    <s v="09/08/2024"/>
    <x v="10"/>
    <x v="0"/>
    <x v="0"/>
    <n v="4776.18"/>
  </r>
  <r>
    <s v="10/02/2024"/>
    <x v="1"/>
    <x v="0"/>
    <x v="2"/>
    <n v="1973.84"/>
  </r>
  <r>
    <s v="10/10/2024"/>
    <x v="6"/>
    <x v="0"/>
    <x v="2"/>
    <n v="1076.6199999999999"/>
  </r>
  <r>
    <s v="11/06/2024"/>
    <x v="0"/>
    <x v="1"/>
    <x v="5"/>
    <n v="1042.49"/>
  </r>
  <r>
    <s v="12/03/2024"/>
    <x v="4"/>
    <x v="1"/>
    <x v="1"/>
    <n v="687.97"/>
  </r>
  <r>
    <s v="12/06/2024"/>
    <x v="0"/>
    <x v="1"/>
    <x v="6"/>
    <n v="901.91"/>
  </r>
  <r>
    <s v="12/10/2024"/>
    <x v="6"/>
    <x v="1"/>
    <x v="3"/>
    <n v="800.16"/>
  </r>
  <r>
    <s v="13/02/2024"/>
    <x v="1"/>
    <x v="0"/>
    <x v="7"/>
    <n v="2290.69"/>
  </r>
  <r>
    <s v="13/03/2024"/>
    <x v="4"/>
    <x v="0"/>
    <x v="0"/>
    <n v="2508.2800000000002"/>
  </r>
  <r>
    <s v="15/02/2024"/>
    <x v="1"/>
    <x v="1"/>
    <x v="1"/>
    <n v="618.78"/>
  </r>
  <r>
    <s v="15/08/2024"/>
    <x v="10"/>
    <x v="0"/>
    <x v="7"/>
    <n v="1618.43"/>
  </r>
  <r>
    <s v="16/02/2024"/>
    <x v="1"/>
    <x v="0"/>
    <x v="2"/>
    <n v="4422.38"/>
  </r>
  <r>
    <s v="16/05/2024"/>
    <x v="5"/>
    <x v="0"/>
    <x v="2"/>
    <n v="2494.0500000000002"/>
  </r>
  <r>
    <s v="16/10/2024"/>
    <x v="6"/>
    <x v="1"/>
    <x v="3"/>
    <n v="50.91"/>
  </r>
  <r>
    <s v="16/10/2024"/>
    <x v="6"/>
    <x v="0"/>
    <x v="2"/>
    <n v="3903.7"/>
  </r>
  <r>
    <s v="17/11/2024"/>
    <x v="7"/>
    <x v="0"/>
    <x v="0"/>
    <n v="3281"/>
  </r>
  <r>
    <s v="18/06/2024"/>
    <x v="0"/>
    <x v="0"/>
    <x v="2"/>
    <n v="198.34"/>
  </r>
  <r>
    <s v="18/07/2024"/>
    <x v="2"/>
    <x v="1"/>
    <x v="5"/>
    <n v="129.03"/>
  </r>
  <r>
    <s v="20/03/2024"/>
    <x v="4"/>
    <x v="0"/>
    <x v="0"/>
    <n v="3950.03"/>
  </r>
  <r>
    <s v="20/05/2024"/>
    <x v="5"/>
    <x v="1"/>
    <x v="5"/>
    <n v="276.39"/>
  </r>
  <r>
    <s v="20/11/2024"/>
    <x v="7"/>
    <x v="0"/>
    <x v="2"/>
    <n v="1579.1"/>
  </r>
  <r>
    <s v="21/01/2024"/>
    <x v="8"/>
    <x v="1"/>
    <x v="4"/>
    <n v="869.02"/>
  </r>
  <r>
    <s v="21/01/2024"/>
    <x v="8"/>
    <x v="0"/>
    <x v="2"/>
    <n v="449.5"/>
  </r>
  <r>
    <s v="21/10/2024"/>
    <x v="6"/>
    <x v="0"/>
    <x v="7"/>
    <n v="2575.5300000000002"/>
  </r>
  <r>
    <s v="22/12/2024"/>
    <x v="11"/>
    <x v="0"/>
    <x v="2"/>
    <n v="3373.49"/>
  </r>
  <r>
    <s v="25/09/2024"/>
    <x v="3"/>
    <x v="0"/>
    <x v="0"/>
    <n v="4706.43"/>
  </r>
  <r>
    <s v="26/02/2024"/>
    <x v="1"/>
    <x v="0"/>
    <x v="0"/>
    <n v="4158.62"/>
  </r>
  <r>
    <s v="27/03/2024"/>
    <x v="4"/>
    <x v="0"/>
    <x v="7"/>
    <n v="1051.08"/>
  </r>
  <r>
    <s v="28/04/2024"/>
    <x v="9"/>
    <x v="1"/>
    <x v="8"/>
    <n v="781.98"/>
  </r>
  <r>
    <s v="29/01/2024"/>
    <x v="8"/>
    <x v="0"/>
    <x v="2"/>
    <n v="1855.45"/>
  </r>
  <r>
    <s v="31/05/2024"/>
    <x v="5"/>
    <x v="0"/>
    <x v="2"/>
    <n v="2924.87"/>
  </r>
  <r>
    <s v="31/05/2024"/>
    <x v="5"/>
    <x v="1"/>
    <x v="6"/>
    <n v="1273.1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5E89D-4C6B-4541-A030-99ED1B5846BE}" name="TabelaReceita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F6:G10" firstHeaderRow="1" firstDataRow="1" firstDataCol="1" rowPageCount="1" colPageCount="1"/>
  <pivotFields count="5">
    <pivotField showAll="0"/>
    <pivotField showAll="0">
      <items count="13">
        <item x="8"/>
        <item x="1"/>
        <item x="4"/>
        <item x="9"/>
        <item x="5"/>
        <item x="0"/>
        <item x="2"/>
        <item x="10"/>
        <item x="3"/>
        <item x="6"/>
        <item x="7"/>
        <item x="1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0">
        <item x="6"/>
        <item x="3"/>
        <item x="5"/>
        <item x="4"/>
        <item x="7"/>
        <item x="8"/>
        <item x="2"/>
        <item x="1"/>
        <item x="0"/>
        <item t="default"/>
      </items>
    </pivotField>
    <pivotField dataField="1" numFmtId="164" showAll="0"/>
  </pivotFields>
  <rowFields count="1">
    <field x="3"/>
  </rowFields>
  <rowItems count="4">
    <i>
      <x v="4"/>
    </i>
    <i>
      <x v="6"/>
    </i>
    <i>
      <x v="8"/>
    </i>
    <i t="grand">
      <x/>
    </i>
  </rowItems>
  <colItems count="1">
    <i/>
  </colItems>
  <pageFields count="1">
    <pageField fld="2" item="1" hier="-1"/>
  </pageFields>
  <dataFields count="1">
    <dataField name="Soma de Valor (R$)" fld="4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88887-F1FE-4241-8A0E-17D0664A095D}" name="TabelaDespesa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6:D13" firstHeaderRow="1" firstDataRow="1" firstDataCol="1" rowPageCount="1" colPageCount="1"/>
  <pivotFields count="5">
    <pivotField showAll="0"/>
    <pivotField showAll="0">
      <items count="13">
        <item x="8"/>
        <item x="1"/>
        <item x="4"/>
        <item x="9"/>
        <item x="5"/>
        <item x="0"/>
        <item x="2"/>
        <item x="10"/>
        <item x="3"/>
        <item x="6"/>
        <item x="7"/>
        <item x="1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0">
        <item x="6"/>
        <item x="3"/>
        <item x="5"/>
        <item x="4"/>
        <item x="7"/>
        <item x="8"/>
        <item x="2"/>
        <item x="1"/>
        <item x="0"/>
        <item t="default"/>
      </items>
    </pivotField>
    <pivotField dataField="1" numFmtId="164" showAll="0"/>
  </pivotFields>
  <rowFields count="1">
    <field x="3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2" item="0" hier="-1"/>
  </pageFields>
  <dataFields count="1">
    <dataField name="Soma de Valor (R$)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88FF16D3-9064-4E44-9357-02EF66796FB2}" sourceName="Mês">
  <pivotTables>
    <pivotTable tabId="3" name="TabelaDespesa"/>
    <pivotTable tabId="3" name="TabelaReceita"/>
  </pivotTables>
  <data>
    <tabular pivotCacheId="963179951">
      <items count="12">
        <i x="8" s="1"/>
        <i x="1" s="1"/>
        <i x="4" s="1"/>
        <i x="9" s="1"/>
        <i x="5" s="1"/>
        <i x="0" s="1"/>
        <i x="2" s="1"/>
        <i x="10" s="1"/>
        <i x="3" s="1"/>
        <i x="6" s="1"/>
        <i x="7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" xr10:uid="{A09AA19C-72A4-47CD-A0AA-CB6596E6AF54}" sourceName="Descrição">
  <pivotTables>
    <pivotTable tabId="3" name="TabelaDespesa"/>
    <pivotTable tabId="3" name="TabelaReceita"/>
  </pivotTables>
  <data>
    <tabular pivotCacheId="963179951">
      <items count="9">
        <i x="6" s="1"/>
        <i x="3" s="1"/>
        <i x="5" s="1"/>
        <i x="4" s="1"/>
        <i x="7" s="1"/>
        <i x="8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D5D345C1-1310-4BAF-91B8-8C3826B4E98A}" cache="SegmentaçãodeDados_Mês" caption="Mês" style="SlicerStyleOther2 2" rowHeight="234950"/>
  <slicer name="Descrição" xr10:uid="{E99BD74E-C493-4CCB-8FD2-417C3974CAD6}" cache="SegmentaçãodeDados_Descrição" caption="Descrição" style="SlicerStyleOther2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" displayName="TabelaDados" ref="A1:E51">
  <autoFilter ref="A1:E51" xr:uid="{00000000-0009-0000-0100-000001000000}"/>
  <tableColumns count="5">
    <tableColumn id="1" xr3:uid="{00000000-0010-0000-0000-000001000000}" name="Data"/>
    <tableColumn id="5" xr3:uid="{7C5A30A7-4035-4F58-872D-02A23C197055}" name="Mês" dataDxfId="7">
      <calculatedColumnFormula>MONTH(TabelaDados[[#This Row],[Data]])</calculatedColumnFormula>
    </tableColumn>
    <tableColumn id="2" xr3:uid="{00000000-0010-0000-0000-000002000000}" name="Tipo"/>
    <tableColumn id="3" xr3:uid="{00000000-0010-0000-0000-000003000000}" name="Descrição"/>
    <tableColumn id="4" xr3:uid="{00000000-0010-0000-0000-000004000000}" name="Valor (R$)" dataDxfId="8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597F8-3D3E-428D-93BF-DE287D38CBE2}" name="Tabela2" displayName="Tabela2" ref="B6:C23" totalsRowShown="0" headerRowDxfId="4">
  <autoFilter ref="B6:C23" xr:uid="{97E597F8-3D3E-428D-93BF-DE287D38CBE2}"/>
  <tableColumns count="2">
    <tableColumn id="1" xr3:uid="{522A0793-21B1-443E-B065-4D63B22AA3C7}" name="Data do lançamento" dataDxfId="0" totalsRowDxfId="3"/>
    <tableColumn id="2" xr3:uid="{DA76BF87-2E66-4E4E-AF74-C6B535CD437E}" name="Valor guardado" dataDxfId="1" totalsRow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E51"/>
  <sheetViews>
    <sheetView workbookViewId="0">
      <selection activeCell="A2" sqref="A2"/>
    </sheetView>
  </sheetViews>
  <sheetFormatPr defaultRowHeight="14.4" x14ac:dyDescent="0.3"/>
  <cols>
    <col min="1" max="4" width="15" customWidth="1"/>
    <col min="5" max="5" width="15" style="3" customWidth="1"/>
  </cols>
  <sheetData>
    <row r="1" spans="1:5" x14ac:dyDescent="0.3">
      <c r="A1" s="1" t="s">
        <v>0</v>
      </c>
      <c r="B1" s="10" t="s">
        <v>63</v>
      </c>
      <c r="C1" s="1" t="s">
        <v>1</v>
      </c>
      <c r="D1" s="1" t="s">
        <v>2</v>
      </c>
      <c r="E1" s="2" t="s">
        <v>3</v>
      </c>
    </row>
    <row r="2" spans="1:5" x14ac:dyDescent="0.3">
      <c r="A2" s="13">
        <v>45445</v>
      </c>
      <c r="B2">
        <f>MONTH(TabelaDados[[#This Row],[Data]])</f>
        <v>6</v>
      </c>
      <c r="C2" t="s">
        <v>4</v>
      </c>
      <c r="D2" t="s">
        <v>59</v>
      </c>
      <c r="E2" s="3">
        <v>805.48</v>
      </c>
    </row>
    <row r="3" spans="1:5" x14ac:dyDescent="0.3">
      <c r="A3" t="s">
        <v>5</v>
      </c>
      <c r="B3">
        <f>MONTH(TabelaDados[[#This Row],[Data]])</f>
        <v>2</v>
      </c>
      <c r="C3" t="s">
        <v>6</v>
      </c>
      <c r="D3" t="s">
        <v>7</v>
      </c>
      <c r="E3" s="3">
        <v>642.83000000000004</v>
      </c>
    </row>
    <row r="4" spans="1:5" x14ac:dyDescent="0.3">
      <c r="A4" t="s">
        <v>8</v>
      </c>
      <c r="B4">
        <f>MONTH(TabelaDados[[#This Row],[Data]])</f>
        <v>7</v>
      </c>
      <c r="C4" t="s">
        <v>4</v>
      </c>
      <c r="D4" t="s">
        <v>36</v>
      </c>
      <c r="E4" s="3">
        <v>4636.72</v>
      </c>
    </row>
    <row r="5" spans="1:5" x14ac:dyDescent="0.3">
      <c r="A5" t="s">
        <v>9</v>
      </c>
      <c r="B5">
        <f>MONTH(TabelaDados[[#This Row],[Data]])</f>
        <v>9</v>
      </c>
      <c r="C5" t="s">
        <v>4</v>
      </c>
      <c r="D5" t="s">
        <v>59</v>
      </c>
      <c r="E5" s="3">
        <v>3094.82</v>
      </c>
    </row>
    <row r="6" spans="1:5" x14ac:dyDescent="0.3">
      <c r="A6" t="s">
        <v>10</v>
      </c>
      <c r="B6">
        <f>MONTH(TabelaDados[[#This Row],[Data]])</f>
        <v>3</v>
      </c>
      <c r="C6" t="s">
        <v>6</v>
      </c>
      <c r="D6" t="s">
        <v>11</v>
      </c>
      <c r="E6" s="3">
        <v>809.38</v>
      </c>
    </row>
    <row r="7" spans="1:5" x14ac:dyDescent="0.3">
      <c r="A7" t="s">
        <v>12</v>
      </c>
      <c r="B7">
        <f>MONTH(TabelaDados[[#This Row],[Data]])</f>
        <v>5</v>
      </c>
      <c r="C7" t="s">
        <v>6</v>
      </c>
      <c r="D7" t="s">
        <v>7</v>
      </c>
      <c r="E7" s="3">
        <v>977.34</v>
      </c>
    </row>
    <row r="8" spans="1:5" x14ac:dyDescent="0.3">
      <c r="A8" t="s">
        <v>13</v>
      </c>
      <c r="B8">
        <f>MONTH(TabelaDados[[#This Row],[Data]])</f>
        <v>10</v>
      </c>
      <c r="C8" t="s">
        <v>6</v>
      </c>
      <c r="D8" t="s">
        <v>14</v>
      </c>
      <c r="E8" s="3">
        <v>1229.29</v>
      </c>
    </row>
    <row r="9" spans="1:5" x14ac:dyDescent="0.3">
      <c r="A9" t="s">
        <v>15</v>
      </c>
      <c r="B9">
        <f>MONTH(TabelaDados[[#This Row],[Data]])</f>
        <v>11</v>
      </c>
      <c r="C9" t="s">
        <v>6</v>
      </c>
      <c r="D9" t="s">
        <v>11</v>
      </c>
      <c r="E9" s="3">
        <v>970.15</v>
      </c>
    </row>
    <row r="10" spans="1:5" x14ac:dyDescent="0.3">
      <c r="A10" t="s">
        <v>15</v>
      </c>
      <c r="B10">
        <f>MONTH(TabelaDados[[#This Row],[Data]])</f>
        <v>11</v>
      </c>
      <c r="C10" t="s">
        <v>4</v>
      </c>
      <c r="D10" t="s">
        <v>59</v>
      </c>
      <c r="E10" s="3">
        <v>2501.71</v>
      </c>
    </row>
    <row r="11" spans="1:5" x14ac:dyDescent="0.3">
      <c r="A11" t="s">
        <v>16</v>
      </c>
      <c r="B11">
        <f>MONTH(TabelaDados[[#This Row],[Data]])</f>
        <v>2</v>
      </c>
      <c r="C11" t="s">
        <v>6</v>
      </c>
      <c r="D11" t="s">
        <v>17</v>
      </c>
      <c r="E11" s="3">
        <v>1393.51</v>
      </c>
    </row>
    <row r="12" spans="1:5" x14ac:dyDescent="0.3">
      <c r="A12" t="s">
        <v>18</v>
      </c>
      <c r="B12">
        <f>MONTH(TabelaDados[[#This Row],[Data]])</f>
        <v>7</v>
      </c>
      <c r="C12" t="s">
        <v>4</v>
      </c>
      <c r="D12" t="s">
        <v>59</v>
      </c>
      <c r="E12" s="3">
        <v>1004.49</v>
      </c>
    </row>
    <row r="13" spans="1:5" x14ac:dyDescent="0.3">
      <c r="A13" t="s">
        <v>19</v>
      </c>
      <c r="B13">
        <f>MONTH(TabelaDados[[#This Row],[Data]])</f>
        <v>10</v>
      </c>
      <c r="C13" t="s">
        <v>6</v>
      </c>
      <c r="D13" t="s">
        <v>7</v>
      </c>
      <c r="E13" s="3">
        <v>1098.8699999999999</v>
      </c>
    </row>
    <row r="14" spans="1:5" x14ac:dyDescent="0.3">
      <c r="A14" t="s">
        <v>20</v>
      </c>
      <c r="B14">
        <f>MONTH(TabelaDados[[#This Row],[Data]])</f>
        <v>1</v>
      </c>
      <c r="C14" t="s">
        <v>4</v>
      </c>
      <c r="D14" t="s">
        <v>36</v>
      </c>
      <c r="E14" s="3">
        <v>569.32000000000005</v>
      </c>
    </row>
    <row r="15" spans="1:5" x14ac:dyDescent="0.3">
      <c r="A15" t="s">
        <v>22</v>
      </c>
      <c r="B15">
        <f>MONTH(TabelaDados[[#This Row],[Data]])</f>
        <v>2</v>
      </c>
      <c r="C15" t="s">
        <v>6</v>
      </c>
      <c r="D15" t="s">
        <v>7</v>
      </c>
      <c r="E15" s="3">
        <v>110.42</v>
      </c>
    </row>
    <row r="16" spans="1:5" x14ac:dyDescent="0.3">
      <c r="A16" t="s">
        <v>23</v>
      </c>
      <c r="B16">
        <f>MONTH(TabelaDados[[#This Row],[Data]])</f>
        <v>4</v>
      </c>
      <c r="C16" t="s">
        <v>4</v>
      </c>
      <c r="D16" t="s">
        <v>36</v>
      </c>
      <c r="E16" s="3">
        <v>3844.42</v>
      </c>
    </row>
    <row r="17" spans="1:5" x14ac:dyDescent="0.3">
      <c r="A17" t="s">
        <v>24</v>
      </c>
      <c r="B17">
        <f>MONTH(TabelaDados[[#This Row],[Data]])</f>
        <v>10</v>
      </c>
      <c r="C17" t="s">
        <v>6</v>
      </c>
      <c r="D17" t="s">
        <v>7</v>
      </c>
      <c r="E17" s="3">
        <v>555.73</v>
      </c>
    </row>
    <row r="18" spans="1:5" x14ac:dyDescent="0.3">
      <c r="A18" t="s">
        <v>25</v>
      </c>
      <c r="B18">
        <f>MONTH(TabelaDados[[#This Row],[Data]])</f>
        <v>8</v>
      </c>
      <c r="C18" t="s">
        <v>4</v>
      </c>
      <c r="D18" t="s">
        <v>36</v>
      </c>
      <c r="E18" s="3">
        <v>184.91</v>
      </c>
    </row>
    <row r="19" spans="1:5" x14ac:dyDescent="0.3">
      <c r="A19" t="s">
        <v>26</v>
      </c>
      <c r="B19">
        <f>MONTH(TabelaDados[[#This Row],[Data]])</f>
        <v>7</v>
      </c>
      <c r="C19" t="s">
        <v>4</v>
      </c>
      <c r="D19" t="s">
        <v>36</v>
      </c>
      <c r="E19" s="3">
        <v>2569.35</v>
      </c>
    </row>
    <row r="20" spans="1:5" x14ac:dyDescent="0.3">
      <c r="A20" t="s">
        <v>27</v>
      </c>
      <c r="B20">
        <f>MONTH(TabelaDados[[#This Row],[Data]])</f>
        <v>8</v>
      </c>
      <c r="C20" t="s">
        <v>4</v>
      </c>
      <c r="D20" t="s">
        <v>59</v>
      </c>
      <c r="E20" s="3">
        <v>4776.18</v>
      </c>
    </row>
    <row r="21" spans="1:5" x14ac:dyDescent="0.3">
      <c r="A21" t="s">
        <v>28</v>
      </c>
      <c r="B21">
        <f>MONTH(TabelaDados[[#This Row],[Data]])</f>
        <v>2</v>
      </c>
      <c r="C21" t="s">
        <v>4</v>
      </c>
      <c r="D21" t="s">
        <v>36</v>
      </c>
      <c r="E21" s="3">
        <v>1973.84</v>
      </c>
    </row>
    <row r="22" spans="1:5" x14ac:dyDescent="0.3">
      <c r="A22" t="s">
        <v>29</v>
      </c>
      <c r="B22">
        <f>MONTH(TabelaDados[[#This Row],[Data]])</f>
        <v>10</v>
      </c>
      <c r="C22" t="s">
        <v>4</v>
      </c>
      <c r="D22" t="s">
        <v>36</v>
      </c>
      <c r="E22" s="3">
        <v>1076.6199999999999</v>
      </c>
    </row>
    <row r="23" spans="1:5" x14ac:dyDescent="0.3">
      <c r="A23" t="s">
        <v>30</v>
      </c>
      <c r="B23">
        <f>MONTH(TabelaDados[[#This Row],[Data]])</f>
        <v>6</v>
      </c>
      <c r="C23" t="s">
        <v>6</v>
      </c>
      <c r="D23" t="s">
        <v>17</v>
      </c>
      <c r="E23" s="3">
        <v>1042.49</v>
      </c>
    </row>
    <row r="24" spans="1:5" x14ac:dyDescent="0.3">
      <c r="A24" t="s">
        <v>31</v>
      </c>
      <c r="B24">
        <f>MONTH(TabelaDados[[#This Row],[Data]])</f>
        <v>3</v>
      </c>
      <c r="C24" t="s">
        <v>6</v>
      </c>
      <c r="D24" t="s">
        <v>7</v>
      </c>
      <c r="E24" s="3">
        <v>687.97</v>
      </c>
    </row>
    <row r="25" spans="1:5" x14ac:dyDescent="0.3">
      <c r="A25" t="s">
        <v>32</v>
      </c>
      <c r="B25">
        <f>MONTH(TabelaDados[[#This Row],[Data]])</f>
        <v>6</v>
      </c>
      <c r="C25" t="s">
        <v>6</v>
      </c>
      <c r="D25" t="s">
        <v>33</v>
      </c>
      <c r="E25" s="3">
        <v>901.91</v>
      </c>
    </row>
    <row r="26" spans="1:5" x14ac:dyDescent="0.3">
      <c r="A26" t="s">
        <v>34</v>
      </c>
      <c r="B26">
        <f>MONTH(TabelaDados[[#This Row],[Data]])</f>
        <v>10</v>
      </c>
      <c r="C26" t="s">
        <v>6</v>
      </c>
      <c r="D26" t="s">
        <v>11</v>
      </c>
      <c r="E26" s="3">
        <v>800.16</v>
      </c>
    </row>
    <row r="27" spans="1:5" x14ac:dyDescent="0.3">
      <c r="A27" t="s">
        <v>35</v>
      </c>
      <c r="B27">
        <f>MONTH(TabelaDados[[#This Row],[Data]])</f>
        <v>2</v>
      </c>
      <c r="C27" t="s">
        <v>4</v>
      </c>
      <c r="D27" t="s">
        <v>21</v>
      </c>
      <c r="E27" s="3">
        <v>2290.69</v>
      </c>
    </row>
    <row r="28" spans="1:5" x14ac:dyDescent="0.3">
      <c r="A28" t="s">
        <v>37</v>
      </c>
      <c r="B28">
        <f>MONTH(TabelaDados[[#This Row],[Data]])</f>
        <v>3</v>
      </c>
      <c r="C28" t="s">
        <v>4</v>
      </c>
      <c r="D28" t="s">
        <v>59</v>
      </c>
      <c r="E28" s="3">
        <v>2508.2800000000002</v>
      </c>
    </row>
    <row r="29" spans="1:5" x14ac:dyDescent="0.3">
      <c r="A29" t="s">
        <v>38</v>
      </c>
      <c r="B29">
        <f>MONTH(TabelaDados[[#This Row],[Data]])</f>
        <v>2</v>
      </c>
      <c r="C29" t="s">
        <v>6</v>
      </c>
      <c r="D29" t="s">
        <v>7</v>
      </c>
      <c r="E29" s="3">
        <v>618.78</v>
      </c>
    </row>
    <row r="30" spans="1:5" x14ac:dyDescent="0.3">
      <c r="A30" t="s">
        <v>39</v>
      </c>
      <c r="B30">
        <f>MONTH(TabelaDados[[#This Row],[Data]])</f>
        <v>8</v>
      </c>
      <c r="C30" t="s">
        <v>4</v>
      </c>
      <c r="D30" t="s">
        <v>21</v>
      </c>
      <c r="E30" s="3">
        <v>1618.43</v>
      </c>
    </row>
    <row r="31" spans="1:5" x14ac:dyDescent="0.3">
      <c r="A31" t="s">
        <v>40</v>
      </c>
      <c r="B31">
        <f>MONTH(TabelaDados[[#This Row],[Data]])</f>
        <v>2</v>
      </c>
      <c r="C31" t="s">
        <v>4</v>
      </c>
      <c r="D31" t="s">
        <v>36</v>
      </c>
      <c r="E31" s="3">
        <v>4422.38</v>
      </c>
    </row>
    <row r="32" spans="1:5" x14ac:dyDescent="0.3">
      <c r="A32" t="s">
        <v>41</v>
      </c>
      <c r="B32">
        <f>MONTH(TabelaDados[[#This Row],[Data]])</f>
        <v>5</v>
      </c>
      <c r="C32" t="s">
        <v>4</v>
      </c>
      <c r="D32" t="s">
        <v>36</v>
      </c>
      <c r="E32" s="3">
        <v>2494.0500000000002</v>
      </c>
    </row>
    <row r="33" spans="1:5" x14ac:dyDescent="0.3">
      <c r="A33" t="s">
        <v>42</v>
      </c>
      <c r="B33">
        <f>MONTH(TabelaDados[[#This Row],[Data]])</f>
        <v>10</v>
      </c>
      <c r="C33" t="s">
        <v>6</v>
      </c>
      <c r="D33" t="s">
        <v>11</v>
      </c>
      <c r="E33" s="3">
        <v>50.91</v>
      </c>
    </row>
    <row r="34" spans="1:5" x14ac:dyDescent="0.3">
      <c r="A34" t="s">
        <v>42</v>
      </c>
      <c r="B34">
        <f>MONTH(TabelaDados[[#This Row],[Data]])</f>
        <v>10</v>
      </c>
      <c r="C34" t="s">
        <v>4</v>
      </c>
      <c r="D34" t="s">
        <v>36</v>
      </c>
      <c r="E34" s="3">
        <v>3903.7</v>
      </c>
    </row>
    <row r="35" spans="1:5" x14ac:dyDescent="0.3">
      <c r="A35" t="s">
        <v>43</v>
      </c>
      <c r="B35">
        <f>MONTH(TabelaDados[[#This Row],[Data]])</f>
        <v>11</v>
      </c>
      <c r="C35" t="s">
        <v>4</v>
      </c>
      <c r="D35" t="s">
        <v>59</v>
      </c>
      <c r="E35" s="3">
        <v>3281</v>
      </c>
    </row>
    <row r="36" spans="1:5" x14ac:dyDescent="0.3">
      <c r="A36" t="s">
        <v>44</v>
      </c>
      <c r="B36">
        <f>MONTH(TabelaDados[[#This Row],[Data]])</f>
        <v>6</v>
      </c>
      <c r="C36" t="s">
        <v>4</v>
      </c>
      <c r="D36" t="s">
        <v>36</v>
      </c>
      <c r="E36" s="3">
        <v>198.34</v>
      </c>
    </row>
    <row r="37" spans="1:5" x14ac:dyDescent="0.3">
      <c r="A37" t="s">
        <v>45</v>
      </c>
      <c r="B37">
        <f>MONTH(TabelaDados[[#This Row],[Data]])</f>
        <v>7</v>
      </c>
      <c r="C37" t="s">
        <v>6</v>
      </c>
      <c r="D37" t="s">
        <v>17</v>
      </c>
      <c r="E37" s="3">
        <v>129.03</v>
      </c>
    </row>
    <row r="38" spans="1:5" x14ac:dyDescent="0.3">
      <c r="A38" t="s">
        <v>46</v>
      </c>
      <c r="B38">
        <f>MONTH(TabelaDados[[#This Row],[Data]])</f>
        <v>3</v>
      </c>
      <c r="C38" t="s">
        <v>4</v>
      </c>
      <c r="D38" t="s">
        <v>59</v>
      </c>
      <c r="E38" s="3">
        <v>3950.03</v>
      </c>
    </row>
    <row r="39" spans="1:5" x14ac:dyDescent="0.3">
      <c r="A39" t="s">
        <v>47</v>
      </c>
      <c r="B39">
        <f>MONTH(TabelaDados[[#This Row],[Data]])</f>
        <v>5</v>
      </c>
      <c r="C39" t="s">
        <v>6</v>
      </c>
      <c r="D39" t="s">
        <v>17</v>
      </c>
      <c r="E39" s="3">
        <v>276.39</v>
      </c>
    </row>
    <row r="40" spans="1:5" x14ac:dyDescent="0.3">
      <c r="A40" t="s">
        <v>48</v>
      </c>
      <c r="B40">
        <f>MONTH(TabelaDados[[#This Row],[Data]])</f>
        <v>11</v>
      </c>
      <c r="C40" t="s">
        <v>4</v>
      </c>
      <c r="D40" t="s">
        <v>36</v>
      </c>
      <c r="E40" s="3">
        <v>1579.1</v>
      </c>
    </row>
    <row r="41" spans="1:5" x14ac:dyDescent="0.3">
      <c r="A41" t="s">
        <v>49</v>
      </c>
      <c r="B41">
        <f>MONTH(TabelaDados[[#This Row],[Data]])</f>
        <v>1</v>
      </c>
      <c r="C41" t="s">
        <v>6</v>
      </c>
      <c r="D41" t="s">
        <v>14</v>
      </c>
      <c r="E41" s="3">
        <v>869.02</v>
      </c>
    </row>
    <row r="42" spans="1:5" x14ac:dyDescent="0.3">
      <c r="A42" t="s">
        <v>49</v>
      </c>
      <c r="B42">
        <f>MONTH(TabelaDados[[#This Row],[Data]])</f>
        <v>1</v>
      </c>
      <c r="C42" t="s">
        <v>4</v>
      </c>
      <c r="D42" t="s">
        <v>36</v>
      </c>
      <c r="E42" s="3">
        <v>449.5</v>
      </c>
    </row>
    <row r="43" spans="1:5" x14ac:dyDescent="0.3">
      <c r="A43" t="s">
        <v>50</v>
      </c>
      <c r="B43">
        <f>MONTH(TabelaDados[[#This Row],[Data]])</f>
        <v>10</v>
      </c>
      <c r="C43" t="s">
        <v>4</v>
      </c>
      <c r="D43" t="s">
        <v>21</v>
      </c>
      <c r="E43" s="3">
        <v>2575.5300000000002</v>
      </c>
    </row>
    <row r="44" spans="1:5" x14ac:dyDescent="0.3">
      <c r="A44" t="s">
        <v>51</v>
      </c>
      <c r="B44">
        <f>MONTH(TabelaDados[[#This Row],[Data]])</f>
        <v>12</v>
      </c>
      <c r="C44" t="s">
        <v>4</v>
      </c>
      <c r="D44" t="s">
        <v>36</v>
      </c>
      <c r="E44" s="3">
        <v>3373.49</v>
      </c>
    </row>
    <row r="45" spans="1:5" x14ac:dyDescent="0.3">
      <c r="A45" t="s">
        <v>52</v>
      </c>
      <c r="B45">
        <f>MONTH(TabelaDados[[#This Row],[Data]])</f>
        <v>9</v>
      </c>
      <c r="C45" t="s">
        <v>4</v>
      </c>
      <c r="D45" t="s">
        <v>59</v>
      </c>
      <c r="E45" s="3">
        <v>4706.43</v>
      </c>
    </row>
    <row r="46" spans="1:5" x14ac:dyDescent="0.3">
      <c r="A46" t="s">
        <v>53</v>
      </c>
      <c r="B46">
        <f>MONTH(TabelaDados[[#This Row],[Data]])</f>
        <v>2</v>
      </c>
      <c r="C46" t="s">
        <v>4</v>
      </c>
      <c r="D46" t="s">
        <v>59</v>
      </c>
      <c r="E46" s="3">
        <v>4158.62</v>
      </c>
    </row>
    <row r="47" spans="1:5" x14ac:dyDescent="0.3">
      <c r="A47" t="s">
        <v>54</v>
      </c>
      <c r="B47">
        <f>MONTH(TabelaDados[[#This Row],[Data]])</f>
        <v>3</v>
      </c>
      <c r="C47" t="s">
        <v>4</v>
      </c>
      <c r="D47" t="s">
        <v>21</v>
      </c>
      <c r="E47" s="3">
        <v>1051.08</v>
      </c>
    </row>
    <row r="48" spans="1:5" x14ac:dyDescent="0.3">
      <c r="A48" t="s">
        <v>55</v>
      </c>
      <c r="B48">
        <f>MONTH(TabelaDados[[#This Row],[Data]])</f>
        <v>4</v>
      </c>
      <c r="C48" t="s">
        <v>6</v>
      </c>
      <c r="D48" t="s">
        <v>56</v>
      </c>
      <c r="E48" s="3">
        <v>781.98</v>
      </c>
    </row>
    <row r="49" spans="1:5" x14ac:dyDescent="0.3">
      <c r="A49" t="s">
        <v>57</v>
      </c>
      <c r="B49">
        <f>MONTH(TabelaDados[[#This Row],[Data]])</f>
        <v>1</v>
      </c>
      <c r="C49" t="s">
        <v>4</v>
      </c>
      <c r="D49" t="s">
        <v>36</v>
      </c>
      <c r="E49" s="3">
        <v>1855.45</v>
      </c>
    </row>
    <row r="50" spans="1:5" x14ac:dyDescent="0.3">
      <c r="A50" t="s">
        <v>58</v>
      </c>
      <c r="B50">
        <f>MONTH(TabelaDados[[#This Row],[Data]])</f>
        <v>5</v>
      </c>
      <c r="C50" t="s">
        <v>4</v>
      </c>
      <c r="D50" t="s">
        <v>36</v>
      </c>
      <c r="E50" s="3">
        <v>2924.87</v>
      </c>
    </row>
    <row r="51" spans="1:5" x14ac:dyDescent="0.3">
      <c r="A51" t="s">
        <v>58</v>
      </c>
      <c r="B51">
        <f>MONTH(TabelaDados[[#This Row],[Data]])</f>
        <v>5</v>
      </c>
      <c r="C51" t="s">
        <v>6</v>
      </c>
      <c r="D51" t="s">
        <v>33</v>
      </c>
      <c r="E51" s="3">
        <v>1273.1400000000001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F40F-C40C-49A6-97D7-225DB7C67330}">
  <sheetPr>
    <tabColor theme="4"/>
  </sheetPr>
  <dimension ref="C4:G13"/>
  <sheetViews>
    <sheetView workbookViewId="0">
      <selection activeCell="A2" sqref="A2"/>
    </sheetView>
  </sheetViews>
  <sheetFormatPr defaultRowHeight="14.4" x14ac:dyDescent="0.3"/>
  <cols>
    <col min="3" max="3" width="17.21875" bestFit="1" customWidth="1"/>
    <col min="4" max="4" width="17.33203125" bestFit="1" customWidth="1"/>
    <col min="6" max="6" width="17.21875" bestFit="1" customWidth="1"/>
    <col min="7" max="7" width="17.33203125" bestFit="1" customWidth="1"/>
  </cols>
  <sheetData>
    <row r="4" spans="3:7" x14ac:dyDescent="0.3">
      <c r="C4" s="4" t="s">
        <v>1</v>
      </c>
      <c r="D4" t="s">
        <v>6</v>
      </c>
      <c r="F4" s="4" t="s">
        <v>1</v>
      </c>
      <c r="G4" t="s">
        <v>4</v>
      </c>
    </row>
    <row r="6" spans="3:7" x14ac:dyDescent="0.3">
      <c r="C6" s="4" t="s">
        <v>60</v>
      </c>
      <c r="D6" t="s">
        <v>62</v>
      </c>
      <c r="F6" s="4" t="s">
        <v>60</v>
      </c>
      <c r="G6" t="s">
        <v>62</v>
      </c>
    </row>
    <row r="7" spans="3:7" x14ac:dyDescent="0.3">
      <c r="C7" s="5" t="s">
        <v>33</v>
      </c>
      <c r="D7" s="3">
        <v>2175.0500000000002</v>
      </c>
      <c r="F7" s="5" t="s">
        <v>21</v>
      </c>
      <c r="G7" s="3">
        <v>7535.7300000000005</v>
      </c>
    </row>
    <row r="8" spans="3:7" x14ac:dyDescent="0.3">
      <c r="C8" s="5" t="s">
        <v>11</v>
      </c>
      <c r="D8" s="3">
        <v>2630.6</v>
      </c>
      <c r="F8" s="5" t="s">
        <v>36</v>
      </c>
      <c r="G8" s="3">
        <v>36056.06</v>
      </c>
    </row>
    <row r="9" spans="3:7" x14ac:dyDescent="0.3">
      <c r="C9" s="5" t="s">
        <v>17</v>
      </c>
      <c r="D9" s="3">
        <v>2841.42</v>
      </c>
      <c r="F9" s="5" t="s">
        <v>59</v>
      </c>
      <c r="G9" s="3">
        <v>30787.040000000001</v>
      </c>
    </row>
    <row r="10" spans="3:7" x14ac:dyDescent="0.3">
      <c r="C10" s="5" t="s">
        <v>14</v>
      </c>
      <c r="D10" s="3">
        <v>2098.31</v>
      </c>
      <c r="F10" s="5" t="s">
        <v>61</v>
      </c>
      <c r="G10" s="3">
        <v>74378.83</v>
      </c>
    </row>
    <row r="11" spans="3:7" x14ac:dyDescent="0.3">
      <c r="C11" s="5" t="s">
        <v>56</v>
      </c>
      <c r="D11" s="3">
        <v>781.98</v>
      </c>
    </row>
    <row r="12" spans="3:7" x14ac:dyDescent="0.3">
      <c r="C12" s="5" t="s">
        <v>7</v>
      </c>
      <c r="D12" s="3">
        <v>4691.9399999999996</v>
      </c>
    </row>
    <row r="13" spans="3:7" x14ac:dyDescent="0.3">
      <c r="C13" s="5" t="s">
        <v>61</v>
      </c>
      <c r="D13" s="3">
        <v>15219.3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C2F8-0813-41B6-BDE0-BD6217A95265}">
  <sheetPr>
    <tabColor theme="4"/>
  </sheetPr>
  <dimension ref="B1:K23"/>
  <sheetViews>
    <sheetView workbookViewId="0">
      <selection activeCell="A2" sqref="A2"/>
    </sheetView>
  </sheetViews>
  <sheetFormatPr defaultRowHeight="14.4" x14ac:dyDescent="0.3"/>
  <cols>
    <col min="2" max="2" width="19.88671875" customWidth="1"/>
    <col min="3" max="3" width="18.109375" customWidth="1"/>
  </cols>
  <sheetData>
    <row r="1" spans="2:3" s="8" customFormat="1" ht="72.599999999999994" customHeight="1" x14ac:dyDescent="0.3"/>
    <row r="3" spans="2:3" x14ac:dyDescent="0.3">
      <c r="B3" t="s">
        <v>66</v>
      </c>
      <c r="C3" s="15">
        <f>SUM(Tabela2[Valor guardado])</f>
        <v>1670</v>
      </c>
    </row>
    <row r="4" spans="2:3" x14ac:dyDescent="0.3">
      <c r="B4" t="s">
        <v>67</v>
      </c>
      <c r="C4" s="15">
        <v>10000</v>
      </c>
    </row>
    <row r="6" spans="2:3" x14ac:dyDescent="0.3">
      <c r="B6" s="11" t="s">
        <v>64</v>
      </c>
      <c r="C6" s="11" t="s">
        <v>65</v>
      </c>
    </row>
    <row r="7" spans="2:3" x14ac:dyDescent="0.3">
      <c r="B7" s="14">
        <v>45445</v>
      </c>
      <c r="C7" s="12">
        <v>50</v>
      </c>
    </row>
    <row r="8" spans="2:3" x14ac:dyDescent="0.3">
      <c r="B8" s="14">
        <v>45446</v>
      </c>
      <c r="C8" s="12">
        <v>64</v>
      </c>
    </row>
    <row r="9" spans="2:3" x14ac:dyDescent="0.3">
      <c r="B9" s="14">
        <v>45447</v>
      </c>
      <c r="C9" s="12">
        <v>143</v>
      </c>
    </row>
    <row r="10" spans="2:3" x14ac:dyDescent="0.3">
      <c r="B10" s="14">
        <v>45448</v>
      </c>
      <c r="C10" s="12">
        <v>91</v>
      </c>
    </row>
    <row r="11" spans="2:3" x14ac:dyDescent="0.3">
      <c r="B11" s="14">
        <v>45449</v>
      </c>
      <c r="C11" s="12">
        <v>101</v>
      </c>
    </row>
    <row r="12" spans="2:3" x14ac:dyDescent="0.3">
      <c r="B12" s="14">
        <v>45450</v>
      </c>
      <c r="C12" s="12">
        <v>67</v>
      </c>
    </row>
    <row r="13" spans="2:3" x14ac:dyDescent="0.3">
      <c r="B13" s="14">
        <v>45451</v>
      </c>
      <c r="C13" s="12">
        <v>52</v>
      </c>
    </row>
    <row r="14" spans="2:3" x14ac:dyDescent="0.3">
      <c r="B14" s="14">
        <v>45452</v>
      </c>
      <c r="C14" s="12">
        <v>185</v>
      </c>
    </row>
    <row r="15" spans="2:3" x14ac:dyDescent="0.3">
      <c r="B15" s="14">
        <v>45453</v>
      </c>
      <c r="C15" s="12">
        <v>94</v>
      </c>
    </row>
    <row r="16" spans="2:3" x14ac:dyDescent="0.3">
      <c r="B16" s="14">
        <v>45454</v>
      </c>
      <c r="C16" s="12">
        <v>142</v>
      </c>
    </row>
    <row r="17" spans="2:11" x14ac:dyDescent="0.3">
      <c r="B17" s="14">
        <v>45455</v>
      </c>
      <c r="C17" s="12">
        <v>160</v>
      </c>
      <c r="K17" t="s">
        <v>68</v>
      </c>
    </row>
    <row r="18" spans="2:11" x14ac:dyDescent="0.3">
      <c r="B18" s="14">
        <v>45456</v>
      </c>
      <c r="C18" s="12">
        <v>80</v>
      </c>
    </row>
    <row r="19" spans="2:11" x14ac:dyDescent="0.3">
      <c r="B19" s="14">
        <v>45457</v>
      </c>
      <c r="C19" s="12">
        <v>24</v>
      </c>
    </row>
    <row r="20" spans="2:11" x14ac:dyDescent="0.3">
      <c r="B20" s="14">
        <v>45458</v>
      </c>
      <c r="C20" s="12">
        <v>28</v>
      </c>
    </row>
    <row r="21" spans="2:11" x14ac:dyDescent="0.3">
      <c r="B21" s="14">
        <v>45459</v>
      </c>
      <c r="C21" s="12">
        <v>183</v>
      </c>
    </row>
    <row r="22" spans="2:11" x14ac:dyDescent="0.3">
      <c r="B22" s="14">
        <v>45460</v>
      </c>
      <c r="C22" s="12">
        <v>45</v>
      </c>
    </row>
    <row r="23" spans="2:11" x14ac:dyDescent="0.3">
      <c r="B23" s="14">
        <v>45461</v>
      </c>
      <c r="C23" s="12">
        <v>161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showGridLines="0" showRowColHeaders="0" tabSelected="1" workbookViewId="0">
      <selection activeCell="T3" sqref="T3"/>
    </sheetView>
  </sheetViews>
  <sheetFormatPr defaultColWidth="0" defaultRowHeight="14.4" x14ac:dyDescent="0.3"/>
  <cols>
    <col min="1" max="1" width="20.5546875" style="8" customWidth="1"/>
    <col min="2" max="21" width="8.88671875" style="9" customWidth="1"/>
    <col min="22" max="16384" width="8.88671875" hidden="1"/>
  </cols>
  <sheetData>
    <row r="1" spans="1:1" ht="111" customHeight="1" x14ac:dyDescent="0.35">
      <c r="A1" s="6"/>
    </row>
    <row r="3" spans="1:1" x14ac:dyDescent="0.3">
      <c r="A3" s="7"/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Controle</vt:lpstr>
      <vt:lpstr>Poupança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Magno da Costa Silva</cp:lastModifiedBy>
  <dcterms:created xsi:type="dcterms:W3CDTF">2025-01-09T17:49:38Z</dcterms:created>
  <dcterms:modified xsi:type="dcterms:W3CDTF">2025-01-13T15:54:27Z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2025-01-10T13:02:14Z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38a448a1-0d84-492b-a4d8-6f00d7c27c6a</vt:lpwstr>
  </property>
  <property fmtid="{D5CDD505-2E9C-101B-9397-08002B2CF9AE}" pid="8" name="MSIP_Label_fde7aacd-7cc4-4c31-9e6f-7ef306428f09_ContentBits">
    <vt:lpwstr>1</vt:lpwstr>
  </property>
</Properties>
</file>